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86" firstSheet="0" activeTab="0" autoFilterDateGrouping="1"/>
  </bookViews>
  <sheets>
    <sheet xmlns:r="http://schemas.openxmlformats.org/officeDocument/2006/relationships" name="GVA" sheetId="1" state="visible" r:id="rId1"/>
    <sheet xmlns:r="http://schemas.openxmlformats.org/officeDocument/2006/relationships" name="P&amp;L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8">
    <numFmt numFmtId="164" formatCode="&quot;£&quot;#,##0"/>
    <numFmt numFmtId="165" formatCode="0.0%"/>
    <numFmt numFmtId="166" formatCode="0.0"/>
    <numFmt numFmtId="167" formatCode="&quot;£&quot;#,##0.0"/>
    <numFmt numFmtId="168" formatCode="&quot;£&quot;#,##0.00"/>
    <numFmt numFmtId="169" formatCode="&quot;£&quot;#,##0;-&quot;£&quot;#,##0"/>
    <numFmt numFmtId="170" formatCode="+0.0%;-0.0%;0.0%"/>
    <numFmt numFmtId="171" formatCode="+0;-0;0"/>
  </numFmts>
  <fonts count="2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F0"/>
      <sz val="11"/>
    </font>
    <font>
      <name val="Calibri"/>
      <family val="2"/>
      <b val="1"/>
      <color theme="9" tint="-0.499984740745262"/>
      <sz val="11"/>
    </font>
    <font>
      <name val="Calibri"/>
      <family val="2"/>
      <b val="1"/>
      <color rgb="FF000000"/>
      <sz val="11"/>
    </font>
    <font>
      <name val="Calibri"/>
      <family val="2"/>
      <color theme="9" tint="-0.499984740745262"/>
      <sz val="11"/>
    </font>
    <font>
      <name val="Calibri"/>
      <family val="2"/>
      <b val="1"/>
      <color theme="1"/>
      <sz val="14"/>
    </font>
    <font>
      <name val="Calibri"/>
      <family val="2"/>
      <color rgb="FFFF0000"/>
      <sz val="11"/>
    </font>
    <font>
      <name val="Calibri"/>
      <family val="2"/>
      <sz val="11"/>
    </font>
    <font>
      <name val="Calibri"/>
      <family val="2"/>
      <b val="1"/>
      <color theme="9" tint="-0.499984740745262"/>
      <sz val="14"/>
    </font>
    <font>
      <name val="Calibri"/>
      <family val="2"/>
      <color theme="0" tint="-0.499984740745262"/>
      <sz val="11"/>
    </font>
    <font>
      <name val="Calibri"/>
      <family val="2"/>
      <b val="1"/>
      <color rgb="FFFFC000"/>
      <sz val="11"/>
    </font>
    <font>
      <name val="Calibri"/>
      <family val="2"/>
      <b val="1"/>
      <color rgb="FFFF0000"/>
      <sz val="11"/>
    </font>
    <font>
      <b val="1"/>
      <sz val="14"/>
    </font>
    <font>
      <b val="1"/>
    </font>
    <font>
      <b val="1"/>
      <sz val="12"/>
    </font>
    <font/>
    <font>
      <i val="1"/>
      <color rgb="FF595959"/>
      <sz val="9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top style="thin">
        <color rgb="FF808080"/>
      </top>
    </border>
  </borders>
  <cellStyleXfs count="4">
    <xf numFmtId="0" fontId="2" fillId="0" borderId="0"/>
    <xf numFmtId="0" fontId="1" fillId="0" borderId="0"/>
    <xf numFmtId="9" fontId="1" fillId="0" borderId="0"/>
    <xf numFmtId="9" fontId="2" fillId="0" borderId="0"/>
  </cellStyleXfs>
  <cellXfs count="156">
    <xf numFmtId="0" fontId="0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164" fontId="4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3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164" fontId="4" fillId="4" borderId="1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4" fillId="0" borderId="5" applyAlignment="1" pivotButton="0" quotePrefix="0" xfId="0">
      <alignment horizontal="center"/>
    </xf>
    <xf numFmtId="165" fontId="4" fillId="0" borderId="5" applyAlignment="1" pivotButton="0" quotePrefix="0" xfId="3">
      <alignment horizontal="center"/>
    </xf>
    <xf numFmtId="1" fontId="4" fillId="4" borderId="4" applyAlignment="1" pivotButton="0" quotePrefix="0" xfId="0">
      <alignment horizontal="center"/>
    </xf>
    <xf numFmtId="1" fontId="4" fillId="4" borderId="2" applyAlignment="1" pivotButton="0" quotePrefix="0" xfId="0">
      <alignment horizontal="center"/>
    </xf>
    <xf numFmtId="0" fontId="4" fillId="0" borderId="7" applyAlignment="1" pivotButton="0" quotePrefix="0" xfId="0">
      <alignment horizontal="right"/>
    </xf>
    <xf numFmtId="0" fontId="4" fillId="0" borderId="7" applyAlignment="1" pivotButton="0" quotePrefix="0" xfId="0">
      <alignment horizontal="center"/>
    </xf>
    <xf numFmtId="164" fontId="14" fillId="0" borderId="5" applyAlignment="1" pivotButton="0" quotePrefix="0" xfId="0">
      <alignment horizontal="center"/>
    </xf>
    <xf numFmtId="164" fontId="4" fillId="2" borderId="2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1" fontId="4" fillId="2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1" fontId="4" fillId="5" borderId="2" applyAlignment="1" pivotButton="0" quotePrefix="0" xfId="0">
      <alignment horizontal="center" vertical="center" wrapText="1"/>
    </xf>
    <xf numFmtId="3" fontId="4" fillId="5" borderId="3" applyAlignment="1" pivotButton="0" quotePrefix="0" xfId="0">
      <alignment horizontal="center" vertical="center" wrapText="1"/>
    </xf>
    <xf numFmtId="166" fontId="4" fillId="5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4" fillId="5" borderId="5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164" fontId="4" fillId="0" borderId="6" applyAlignment="1" pivotButton="0" quotePrefix="0" xfId="0">
      <alignment horizontal="center"/>
    </xf>
    <xf numFmtId="164" fontId="4" fillId="0" borderId="7" applyAlignment="1" pivotButton="0" quotePrefix="0" xfId="0">
      <alignment horizontal="center"/>
    </xf>
    <xf numFmtId="164" fontId="4" fillId="0" borderId="8" applyAlignment="1" pivotButton="0" quotePrefix="0" xfId="0">
      <alignment horizontal="center"/>
    </xf>
    <xf numFmtId="9" fontId="4" fillId="4" borderId="4" applyAlignment="1" pivotButton="0" quotePrefix="0" xfId="3">
      <alignment horizontal="center"/>
    </xf>
    <xf numFmtId="9" fontId="4" fillId="4" borderId="2" applyAlignment="1" pivotButton="0" quotePrefix="0" xfId="3">
      <alignment horizontal="center"/>
    </xf>
    <xf numFmtId="0" fontId="4" fillId="0" borderId="6" applyAlignment="1" pivotButton="0" quotePrefix="0" xfId="0">
      <alignment horizontal="right"/>
    </xf>
    <xf numFmtId="1" fontId="4" fillId="0" borderId="7" applyAlignment="1" pivotButton="0" quotePrefix="0" xfId="3">
      <alignment horizontal="center"/>
    </xf>
    <xf numFmtId="1" fontId="4" fillId="0" borderId="8" applyAlignment="1" pivotButton="0" quotePrefix="0" xfId="3">
      <alignment horizontal="center"/>
    </xf>
    <xf numFmtId="0" fontId="4" fillId="0" borderId="9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0" fontId="12" fillId="0" borderId="0" pivotButton="0" quotePrefix="0" xfId="0"/>
    <xf numFmtId="164" fontId="12" fillId="0" borderId="0" pivotButton="0" quotePrefix="0" xfId="0"/>
    <xf numFmtId="164" fontId="10" fillId="0" borderId="0" applyAlignment="1" pivotButton="0" quotePrefix="0" xfId="0">
      <alignment horizontal="center"/>
    </xf>
    <xf numFmtId="9" fontId="4" fillId="0" borderId="0" pivotButton="0" quotePrefix="0" xfId="0"/>
    <xf numFmtId="164" fontId="4" fillId="4" borderId="0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left"/>
    </xf>
    <xf numFmtId="164" fontId="1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/>
    </xf>
    <xf numFmtId="10" fontId="4" fillId="0" borderId="0" pivotButton="0" quotePrefix="0" xfId="0"/>
    <xf numFmtId="167" fontId="4" fillId="0" borderId="0" pivotButton="0" quotePrefix="0" xfId="0"/>
    <xf numFmtId="11" fontId="4" fillId="0" borderId="0" pivotButton="0" quotePrefix="0" xfId="0"/>
    <xf numFmtId="168" fontId="12" fillId="0" borderId="0" pivotButton="0" quotePrefix="0" xfId="0"/>
    <xf numFmtId="3" fontId="4" fillId="0" borderId="0" applyAlignment="1" pivotButton="0" quotePrefix="0" xfId="0">
      <alignment horizontal="center"/>
    </xf>
    <xf numFmtId="2" fontId="4" fillId="0" borderId="0" pivotButton="0" quotePrefix="0" xfId="0"/>
    <xf numFmtId="2" fontId="4" fillId="0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0" fontId="14" fillId="0" borderId="0" applyAlignment="1" pivotButton="0" quotePrefix="0" xfId="0">
      <alignment horizontal="center"/>
    </xf>
    <xf numFmtId="10" fontId="14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0" fontId="14" fillId="0" borderId="4" applyAlignment="1" pivotButton="0" quotePrefix="0" xfId="0">
      <alignment horizontal="center"/>
    </xf>
    <xf numFmtId="10" fontId="14" fillId="0" borderId="2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 textRotation="90" wrapText="1"/>
    </xf>
    <xf numFmtId="0" fontId="5" fillId="0" borderId="1" applyAlignment="1" pivotButton="0" quotePrefix="0" xfId="0">
      <alignment horizontal="right" vertical="center" textRotation="90"/>
    </xf>
    <xf numFmtId="0" fontId="1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0" fillId="4" borderId="9" applyAlignment="1" pivotButton="0" quotePrefix="0" xfId="0">
      <alignment horizontal="center"/>
    </xf>
    <xf numFmtId="164" fontId="10" fillId="4" borderId="4" applyAlignment="1" pivotButton="0" quotePrefix="0" xfId="0">
      <alignment horizontal="center"/>
    </xf>
    <xf numFmtId="164" fontId="10" fillId="4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/>
    </xf>
    <xf numFmtId="164" fontId="4" fillId="0" borderId="3" applyAlignment="1" pivotButton="0" quotePrefix="0" xfId="0">
      <alignment horizontal="center" vertical="center" wrapText="1"/>
    </xf>
    <xf numFmtId="164" fontId="4" fillId="2" borderId="3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10" fillId="0" borderId="9" applyAlignment="1" pivotButton="0" quotePrefix="0" xfId="0">
      <alignment horizontal="center"/>
    </xf>
    <xf numFmtId="164" fontId="10" fillId="0" borderId="4" applyAlignment="1" pivotButton="0" quotePrefix="0" xfId="0">
      <alignment horizontal="center"/>
    </xf>
    <xf numFmtId="164" fontId="10" fillId="0" borderId="2" applyAlignment="1" pivotButton="0" quotePrefix="0" xfId="0">
      <alignment horizontal="center"/>
    </xf>
    <xf numFmtId="4" fontId="4" fillId="5" borderId="10" applyAlignment="1" pivotButton="0" quotePrefix="0" xfId="0">
      <alignment horizontal="center"/>
    </xf>
    <xf numFmtId="0" fontId="0" fillId="0" borderId="1" pivotButton="0" quotePrefix="0" xfId="0"/>
    <xf numFmtId="164" fontId="1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7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" pivotButton="0" quotePrefix="0" xfId="0"/>
    <xf numFmtId="164" fontId="10" fillId="4" borderId="12" applyAlignment="1" pivotButton="0" quotePrefix="0" xfId="0">
      <alignment horizontal="center"/>
    </xf>
    <xf numFmtId="166" fontId="4" fillId="5" borderId="5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165" fontId="4" fillId="0" borderId="5" applyAlignment="1" pivotButton="0" quotePrefix="0" xfId="3">
      <alignment horizontal="center"/>
    </xf>
    <xf numFmtId="165" fontId="4" fillId="5" borderId="0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7" fontId="4" fillId="0" borderId="0" pivotButton="0" quotePrefix="0" xfId="0"/>
    <xf numFmtId="165" fontId="4" fillId="0" borderId="5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8" fillId="2" borderId="0" applyAlignment="1" pivotButton="0" quotePrefix="0" xfId="0">
      <alignment horizontal="center"/>
    </xf>
    <xf numFmtId="169" fontId="18" fillId="0" borderId="0" pivotButton="0" quotePrefix="0" xfId="0"/>
    <xf numFmtId="0" fontId="20" fillId="0" borderId="0" applyAlignment="1" pivotButton="0" quotePrefix="0" xfId="0">
      <alignment indent="1"/>
    </xf>
    <xf numFmtId="169" fontId="20" fillId="0" borderId="0" pivotButton="0" quotePrefix="0" xfId="0"/>
    <xf numFmtId="0" fontId="20" fillId="0" borderId="0" applyAlignment="1" pivotButton="0" quotePrefix="0" xfId="0">
      <alignment indent="2"/>
    </xf>
    <xf numFmtId="165" fontId="20" fillId="0" borderId="0" pivotButton="0" quotePrefix="0" xfId="0"/>
    <xf numFmtId="169" fontId="18" fillId="0" borderId="17" pivotButton="0" quotePrefix="0" xfId="0"/>
    <xf numFmtId="1" fontId="20" fillId="0" borderId="0" pivotButton="0" quotePrefix="0" xfId="0"/>
    <xf numFmtId="170" fontId="20" fillId="0" borderId="0" pivotButton="0" quotePrefix="0" xfId="0"/>
    <xf numFmtId="171" fontId="20" fillId="0" borderId="0" pivotButton="0" quotePrefix="0" xfId="0"/>
    <xf numFmtId="0" fontId="21" fillId="0" borderId="0" pivotButton="0" quotePrefix="0" xfId="0"/>
  </cellXfs>
  <cellStyles count="4">
    <cellStyle name="Normal" xfId="0" builtinId="0"/>
    <cellStyle name="Normal 3" xfId="1"/>
    <cellStyle name="Percent 2" xfId="2"/>
    <cellStyle name="Percent" xfId="3" builtinId="5"/>
  </cellStyles>
  <dxfs count="2">
    <dxf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tabSelected="1" topLeftCell="B1" zoomScale="85" zoomScaleNormal="85" zoomScaleSheetLayoutView="80" workbookViewId="0">
      <selection activeCell="B1" sqref="B1"/>
    </sheetView>
  </sheetViews>
  <sheetFormatPr baseColWidth="8" defaultRowHeight="14.4"/>
  <cols>
    <col width="16" customWidth="1" style="7" min="1" max="1"/>
    <col width="30.109375" customWidth="1" style="7" min="2" max="2"/>
    <col width="2.109375" customWidth="1" style="3" min="3" max="3"/>
    <col width="28.77734375" customWidth="1" style="7" min="4" max="4"/>
    <col width="15.77734375" customWidth="1" style="7" min="5" max="7"/>
    <col width="11.21875" customWidth="1" style="3" min="8" max="8"/>
    <col width="16.6640625" customWidth="1" style="3" min="9" max="9"/>
    <col width="12.21875" bestFit="1" customWidth="1" style="3" min="10" max="10"/>
    <col width="8.88671875" customWidth="1" style="3" min="11" max="16384"/>
  </cols>
  <sheetData>
    <row r="1">
      <c r="A1" s="104" t="n"/>
      <c r="B1" s="1" t="n"/>
      <c r="C1" s="1" t="n"/>
      <c r="D1" s="104" t="inlineStr">
        <is>
          <t>GVA FIGURES for cut/paste into grant form</t>
        </is>
      </c>
    </row>
    <row r="2" ht="15" customHeight="1" thickBot="1">
      <c r="A2" s="62" t="n"/>
      <c r="B2" s="104" t="n"/>
      <c r="C2" s="1" t="n"/>
      <c r="D2" s="104" t="inlineStr">
        <is>
          <t>&lt; INSERT CLIENT COMPANY NAME &gt;</t>
        </is>
      </c>
    </row>
    <row r="3" ht="18" customHeight="1" thickBot="1">
      <c r="B3" s="101" t="inlineStr">
        <is>
          <t>Without Grant
(BAU)</t>
        </is>
      </c>
      <c r="C3" s="4" t="n"/>
      <c r="D3" s="30" t="inlineStr">
        <is>
          <t>Baseline</t>
        </is>
      </c>
      <c r="E3" s="31" t="inlineStr">
        <is>
          <t>Year 1</t>
        </is>
      </c>
      <c r="F3" s="31" t="inlineStr">
        <is>
          <t>Year 2</t>
        </is>
      </c>
      <c r="G3" s="31" t="inlineStr">
        <is>
          <t>Year 3</t>
        </is>
      </c>
    </row>
    <row r="4" ht="18" customHeight="1" thickBot="1">
      <c r="A4" s="63" t="inlineStr">
        <is>
          <t>Labour</t>
        </is>
      </c>
      <c r="B4" s="118" t="n"/>
      <c r="C4" s="4" t="n"/>
      <c r="D4" s="110">
        <f>D19</f>
        <v/>
      </c>
      <c r="E4" s="5">
        <f>E19</f>
        <v/>
      </c>
      <c r="F4" s="5">
        <f>F19</f>
        <v/>
      </c>
      <c r="G4" s="5">
        <f>G19</f>
        <v/>
      </c>
    </row>
    <row r="5" ht="18" customHeight="1" thickBot="1">
      <c r="A5" s="63" t="inlineStr">
        <is>
          <t>NPBT £s</t>
        </is>
      </c>
      <c r="B5" s="118" t="n"/>
      <c r="C5" s="4" t="n"/>
      <c r="D5" s="110">
        <f>D20</f>
        <v/>
      </c>
      <c r="E5" s="5">
        <f>E20</f>
        <v/>
      </c>
      <c r="F5" s="5">
        <f>F20</f>
        <v/>
      </c>
      <c r="G5" s="5">
        <f>G20</f>
        <v/>
      </c>
    </row>
    <row r="6" ht="18" customHeight="1" thickBot="1">
      <c r="A6" s="65" t="inlineStr">
        <is>
          <t>Depreciation £s</t>
        </is>
      </c>
      <c r="B6" s="118" t="n"/>
      <c r="C6" s="4" t="n"/>
      <c r="D6" s="110">
        <f>D21</f>
        <v/>
      </c>
      <c r="E6" s="5">
        <f>E21</f>
        <v/>
      </c>
      <c r="F6" s="5">
        <f>F21</f>
        <v/>
      </c>
      <c r="G6" s="5">
        <f>G21</f>
        <v/>
      </c>
    </row>
    <row r="7" ht="18" customHeight="1" thickBot="1">
      <c r="A7" s="66" t="n"/>
      <c r="B7" s="118" t="n"/>
      <c r="C7" s="4" t="n"/>
      <c r="D7" s="111">
        <f>SUM(D4:D6)</f>
        <v/>
      </c>
      <c r="E7" s="29">
        <f>SUM(E4:E6)</f>
        <v/>
      </c>
      <c r="F7" s="29">
        <f>SUM(F4:F6)</f>
        <v/>
      </c>
      <c r="G7" s="29">
        <f>SUM(G4:G6)</f>
        <v/>
      </c>
    </row>
    <row r="8" ht="18" customHeight="1" thickBot="1">
      <c r="A8" s="63" t="inlineStr">
        <is>
          <t>Labour</t>
        </is>
      </c>
      <c r="B8" s="101" t="inlineStr">
        <is>
          <t>With Grant
(Accelerated)</t>
        </is>
      </c>
      <c r="C8" s="4" t="n"/>
      <c r="D8" s="110">
        <f>D23</f>
        <v/>
      </c>
      <c r="E8" s="5">
        <f>E23</f>
        <v/>
      </c>
      <c r="F8" s="5">
        <f>F23</f>
        <v/>
      </c>
      <c r="G8" s="5">
        <f>G23</f>
        <v/>
      </c>
    </row>
    <row r="9" ht="18" customHeight="1" thickBot="1">
      <c r="A9" s="63" t="inlineStr">
        <is>
          <t>NPBT £s</t>
        </is>
      </c>
      <c r="B9" s="118" t="n"/>
      <c r="C9" s="4" t="n"/>
      <c r="D9" s="110">
        <f>D24</f>
        <v/>
      </c>
      <c r="E9" s="5">
        <f>E24</f>
        <v/>
      </c>
      <c r="F9" s="5">
        <f>F24</f>
        <v/>
      </c>
      <c r="G9" s="5">
        <f>G24</f>
        <v/>
      </c>
    </row>
    <row r="10" ht="18" customHeight="1" thickBot="1">
      <c r="A10" s="65" t="inlineStr">
        <is>
          <t>Depreciation £s</t>
        </is>
      </c>
      <c r="B10" s="118" t="n"/>
      <c r="C10" s="4" t="n"/>
      <c r="D10" s="110">
        <f>D25</f>
        <v/>
      </c>
      <c r="E10" s="5">
        <f>E25</f>
        <v/>
      </c>
      <c r="F10" s="5">
        <f>F25</f>
        <v/>
      </c>
      <c r="G10" s="5">
        <f>G25</f>
        <v/>
      </c>
    </row>
    <row r="11" ht="18" customHeight="1" thickBot="1">
      <c r="A11" s="66" t="n"/>
      <c r="B11" s="118" t="n"/>
      <c r="C11" s="4" t="n"/>
      <c r="D11" s="111">
        <f>SUM(D8:D10)</f>
        <v/>
      </c>
      <c r="E11" s="29">
        <f>SUM(E8:E10)</f>
        <v/>
      </c>
      <c r="F11" s="29">
        <f>SUM(F8:F10)</f>
        <v/>
      </c>
      <c r="G11" s="29">
        <f>SUM(G8:G10)</f>
        <v/>
      </c>
    </row>
    <row r="12">
      <c r="C12" s="1" t="n"/>
      <c r="D12" s="22">
        <f>D11-D7</f>
        <v/>
      </c>
      <c r="E12" s="112">
        <f>E11-E7</f>
        <v/>
      </c>
      <c r="F12" s="112">
        <f>F11-F7</f>
        <v/>
      </c>
      <c r="G12" s="113">
        <f>G11-G7</f>
        <v/>
      </c>
    </row>
    <row r="13" ht="18.6" customHeight="1" thickBot="1">
      <c r="A13" s="8" t="n"/>
      <c r="B13" s="9" t="inlineStr">
        <is>
          <t>TOTAL GVA</t>
        </is>
      </c>
      <c r="C13" s="4" t="n"/>
      <c r="D13" s="119">
        <f>SUM(D12:G12)</f>
        <v/>
      </c>
      <c r="E13" s="120" t="n"/>
      <c r="F13" s="120" t="n"/>
      <c r="G13" s="121" t="n"/>
    </row>
    <row r="14" ht="20.4" customHeight="1" thickBot="1">
      <c r="C14" s="1" t="n"/>
      <c r="D14" s="108" t="n"/>
    </row>
    <row r="15" ht="15" customHeight="1">
      <c r="A15" s="6" t="n"/>
      <c r="B15" s="104" t="n"/>
      <c r="C15" s="4" t="n"/>
      <c r="D15" s="122" t="inlineStr">
        <is>
          <t>GVA "Story" Model (OUTPUT + DEPRECIATION INPUT)</t>
        </is>
      </c>
      <c r="E15" s="123" t="n"/>
      <c r="F15" s="123" t="n"/>
      <c r="G15" s="124" t="n"/>
    </row>
    <row r="16" ht="15" customHeight="1" thickBot="1">
      <c r="A16" s="6" t="n"/>
      <c r="B16" s="104" t="n"/>
      <c r="C16" s="4" t="n"/>
      <c r="D16" s="125" t="n"/>
      <c r="E16" s="126" t="n"/>
      <c r="F16" s="126" t="n"/>
      <c r="G16" s="127" t="n"/>
    </row>
    <row r="17" ht="15" customHeight="1" thickBot="1">
      <c r="A17" s="67" t="n"/>
      <c r="C17" s="4" t="n"/>
      <c r="D17" s="11" t="n"/>
      <c r="G17" s="12" t="n"/>
    </row>
    <row r="18" ht="15" customHeight="1" thickBot="1">
      <c r="A18" s="68" t="n"/>
      <c r="B18" s="10" t="inlineStr">
        <is>
          <t>No grant</t>
        </is>
      </c>
      <c r="C18" s="4" t="n"/>
      <c r="D18" s="30" t="inlineStr">
        <is>
          <t>Baseline</t>
        </is>
      </c>
      <c r="E18" s="31" t="inlineStr">
        <is>
          <t>Year 1</t>
        </is>
      </c>
      <c r="F18" s="31" t="inlineStr">
        <is>
          <t>Year 2</t>
        </is>
      </c>
      <c r="G18" s="31" t="inlineStr">
        <is>
          <t>Year 3</t>
        </is>
      </c>
    </row>
    <row r="19" ht="15" customHeight="1" thickBot="1">
      <c r="A19" s="64" t="n"/>
      <c r="B19" s="10" t="inlineStr">
        <is>
          <t>Labour</t>
        </is>
      </c>
      <c r="C19" s="4" t="n"/>
      <c r="D19" s="13">
        <f>D36</f>
        <v/>
      </c>
      <c r="E19" s="14">
        <f>E36</f>
        <v/>
      </c>
      <c r="F19" s="14">
        <f>F36</f>
        <v/>
      </c>
      <c r="G19" s="14">
        <f>G36</f>
        <v/>
      </c>
    </row>
    <row r="20" ht="15" customHeight="1" thickBot="1">
      <c r="A20" s="64" t="n"/>
      <c r="B20" s="10" t="inlineStr">
        <is>
          <t>NPBT</t>
        </is>
      </c>
      <c r="C20" s="4" t="n"/>
      <c r="D20" s="13">
        <f>D38</f>
        <v/>
      </c>
      <c r="E20" s="15">
        <f>E38</f>
        <v/>
      </c>
      <c r="F20" s="15">
        <f>F38</f>
        <v/>
      </c>
      <c r="G20" s="15">
        <f>G38</f>
        <v/>
      </c>
    </row>
    <row r="21" ht="15" customHeight="1" thickBot="1">
      <c r="A21" s="69" t="n"/>
      <c r="B21" s="10" t="inlineStr">
        <is>
          <t>Depreciation</t>
        </is>
      </c>
      <c r="C21" s="4" t="n"/>
      <c r="D21" s="16">
        <f>E21</f>
        <v/>
      </c>
      <c r="E21" s="36" t="n">
        <v>67284</v>
      </c>
      <c r="F21" s="36" t="n">
        <v>67284</v>
      </c>
      <c r="G21" s="36" t="n">
        <v>67284</v>
      </c>
    </row>
    <row r="22" ht="15" customHeight="1" thickBot="1">
      <c r="A22" s="70" t="n"/>
      <c r="B22" s="10" t="inlineStr">
        <is>
          <t>w/ grant</t>
        </is>
      </c>
      <c r="C22" s="4" t="n"/>
      <c r="D22" s="32">
        <f>SUM(D19:D21)</f>
        <v/>
      </c>
      <c r="E22" s="33">
        <f>SUM(E19:E21)</f>
        <v/>
      </c>
      <c r="F22" s="33">
        <f>SUM(F19:F21)</f>
        <v/>
      </c>
      <c r="G22" s="33">
        <f>SUM(G19:G21)</f>
        <v/>
      </c>
      <c r="H22" s="6" t="inlineStr">
        <is>
          <t xml:space="preserve">(Note: depreciation is handled here because its not modelled, so kept away from the model below </t>
        </is>
      </c>
    </row>
    <row r="23" ht="15" customHeight="1" thickBot="1">
      <c r="A23" s="70" t="n"/>
      <c r="B23" s="10" t="inlineStr">
        <is>
          <t>Labour</t>
        </is>
      </c>
      <c r="C23" s="4" t="n"/>
      <c r="D23" s="13">
        <f>D44</f>
        <v/>
      </c>
      <c r="E23" s="14">
        <f>E44</f>
        <v/>
      </c>
      <c r="F23" s="14">
        <f>F44</f>
        <v/>
      </c>
      <c r="G23" s="14">
        <f>G44</f>
        <v/>
      </c>
    </row>
    <row r="24" ht="15" customHeight="1" thickBot="1">
      <c r="A24" s="70" t="n"/>
      <c r="B24" s="10" t="inlineStr">
        <is>
          <t>NPBT</t>
        </is>
      </c>
      <c r="C24" s="4" t="n"/>
      <c r="D24" s="13">
        <f>D46</f>
        <v/>
      </c>
      <c r="E24" s="15">
        <f>E46</f>
        <v/>
      </c>
      <c r="F24" s="15">
        <f>F46</f>
        <v/>
      </c>
      <c r="G24" s="15">
        <f>G46</f>
        <v/>
      </c>
    </row>
    <row r="25" ht="15" customHeight="1" thickBot="1">
      <c r="A25" s="69" t="n"/>
      <c r="B25" s="10" t="inlineStr">
        <is>
          <t>Depreciation</t>
        </is>
      </c>
      <c r="C25" s="4" t="n"/>
      <c r="D25" s="16">
        <f>D21</f>
        <v/>
      </c>
      <c r="E25" s="34">
        <f>$B$31/3+E21</f>
        <v/>
      </c>
      <c r="F25" s="35">
        <f>B31/3+F21</f>
        <v/>
      </c>
      <c r="G25" s="35">
        <f>B31/3+G21</f>
        <v/>
      </c>
    </row>
    <row r="26" ht="15" customHeight="1" thickBot="1">
      <c r="A26" s="70" t="n"/>
      <c r="C26" s="4" t="n"/>
      <c r="D26" s="32">
        <f>SUM(D23:D25)</f>
        <v/>
      </c>
      <c r="E26" s="33">
        <f>SUM(E23:E25)</f>
        <v/>
      </c>
      <c r="F26" s="33">
        <f>SUM(F23:F25)</f>
        <v/>
      </c>
      <c r="G26" s="33">
        <f>SUM(G23:G25)</f>
        <v/>
      </c>
    </row>
    <row r="27" ht="15" customHeight="1">
      <c r="A27" s="71" t="n"/>
      <c r="C27" s="1" t="n"/>
      <c r="D27" s="11">
        <f>D26-D22</f>
        <v/>
      </c>
      <c r="E27" s="61">
        <f>E26-E22</f>
        <v/>
      </c>
      <c r="F27" s="61">
        <f>F26-F22</f>
        <v/>
      </c>
      <c r="G27" s="17">
        <f>G26-G22</f>
        <v/>
      </c>
    </row>
    <row r="28" ht="15" customHeight="1" thickBot="1">
      <c r="A28" s="72" t="n"/>
      <c r="B28" s="9" t="inlineStr">
        <is>
          <t>TOTAL GVA</t>
        </is>
      </c>
      <c r="C28" s="4" t="n"/>
      <c r="D28" s="128">
        <f>SUM(D27:G27)</f>
        <v/>
      </c>
      <c r="E28" s="120" t="n"/>
      <c r="F28" s="120" t="n"/>
      <c r="G28" s="121" t="n"/>
    </row>
    <row r="29" ht="15" customHeight="1" thickBot="1">
      <c r="A29" s="73" t="n"/>
      <c r="C29" s="1" t="n"/>
      <c r="D29" s="54" t="n"/>
      <c r="E29" s="54" t="n"/>
      <c r="F29" s="54" t="n"/>
      <c r="G29" s="54" t="n"/>
    </row>
    <row r="30" ht="15" customHeight="1" thickBot="1">
      <c r="A30" s="7" t="inlineStr">
        <is>
          <t>Investment (£)</t>
        </is>
      </c>
      <c r="B30" s="7" t="inlineStr">
        <is>
          <t>Project Cost</t>
        </is>
      </c>
      <c r="C30" s="4" t="n"/>
      <c r="D30" s="122" t="inlineStr">
        <is>
          <t>GVA "Story" Model (GVA LEVER INPUTS)</t>
        </is>
      </c>
      <c r="E30" s="123" t="n"/>
      <c r="F30" s="123" t="n"/>
      <c r="G30" s="124" t="n"/>
    </row>
    <row r="31" ht="15" customHeight="1" thickBot="1">
      <c r="A31" s="3" t="n"/>
      <c r="B31" s="117" t="n">
        <v>40000</v>
      </c>
      <c r="C31" s="4" t="n"/>
      <c r="D31" s="125" t="n"/>
      <c r="E31" s="126" t="n"/>
      <c r="F31" s="126" t="n"/>
      <c r="G31" s="127" t="n"/>
    </row>
    <row r="32" ht="15" customHeight="1" thickBot="1">
      <c r="A32" s="67" t="n"/>
      <c r="C32" s="4" t="n"/>
      <c r="D32" s="92" t="inlineStr">
        <is>
          <t>Baseline</t>
        </is>
      </c>
      <c r="E32" s="93" t="inlineStr">
        <is>
          <t>Year 1</t>
        </is>
      </c>
      <c r="F32" s="93" t="inlineStr">
        <is>
          <t>Year 2</t>
        </is>
      </c>
      <c r="G32" s="94" t="inlineStr">
        <is>
          <t>Year 3</t>
        </is>
      </c>
    </row>
    <row r="33" ht="15" customHeight="1">
      <c r="A33" s="6" t="n"/>
      <c r="B33" s="8" t="inlineStr">
        <is>
          <t>NO GRANT</t>
        </is>
      </c>
      <c r="C33" s="1" t="n"/>
      <c r="D33" s="58" t="n"/>
      <c r="E33" s="59" t="n"/>
      <c r="F33" s="59" t="n"/>
      <c r="G33" s="60" t="n"/>
    </row>
    <row r="34">
      <c r="A34" s="7" t="inlineStr">
        <is>
          <t>Av. Cost per</t>
        </is>
      </c>
      <c r="B34" s="7" t="inlineStr">
        <is>
          <t>Rev (£, millions)</t>
        </is>
      </c>
      <c r="C34" s="4" t="n"/>
      <c r="D34" s="129" t="n">
        <v>1.9</v>
      </c>
      <c r="E34" s="130" t="n">
        <v>2.2</v>
      </c>
      <c r="F34" s="130" t="n">
        <v>2.3</v>
      </c>
      <c r="G34" s="131" t="n">
        <v>2.4</v>
      </c>
      <c r="H34" s="52" t="n"/>
      <c r="L34" s="55" t="n"/>
    </row>
    <row r="35">
      <c r="A35" s="7" t="inlineStr">
        <is>
          <t>Employee</t>
        </is>
      </c>
      <c r="B35" s="7" t="inlineStr">
        <is>
          <t>FTEs</t>
        </is>
      </c>
      <c r="C35" s="4" t="n"/>
      <c r="D35" s="38" t="n">
        <v>19</v>
      </c>
      <c r="E35" s="83" t="n">
        <v>20</v>
      </c>
      <c r="F35" s="83" t="n">
        <v>21</v>
      </c>
      <c r="G35" s="39" t="n">
        <v>22</v>
      </c>
    </row>
    <row r="36">
      <c r="A36" s="56">
        <f>D36/D35</f>
        <v/>
      </c>
      <c r="B36" s="7" t="inlineStr">
        <is>
          <t>Labour (£)</t>
        </is>
      </c>
      <c r="C36" s="4" t="n"/>
      <c r="D36" s="40" t="n">
        <v>500000</v>
      </c>
      <c r="E36" s="56">
        <f>E35*$A$36</f>
        <v/>
      </c>
      <c r="F36" s="56">
        <f>F35*$A$36</f>
        <v/>
      </c>
      <c r="G36" s="19">
        <f>G35*$A$36</f>
        <v/>
      </c>
      <c r="H36" s="53" t="n"/>
      <c r="J36" s="76" t="n"/>
    </row>
    <row r="37">
      <c r="A37" s="74" t="inlineStr">
        <is>
          <t>(sense check this)</t>
        </is>
      </c>
      <c r="B37" s="7" t="inlineStr">
        <is>
          <t>NPBT (%)</t>
        </is>
      </c>
      <c r="C37" s="4" t="n"/>
      <c r="D37" s="132">
        <f>D38/D34/1000000</f>
        <v/>
      </c>
      <c r="E37" s="133" t="n">
        <v>0.1</v>
      </c>
      <c r="F37" s="133" t="n">
        <v>0.095</v>
      </c>
      <c r="G37" s="134" t="n">
        <v>0.09</v>
      </c>
      <c r="H37" s="52" t="n"/>
    </row>
    <row r="38">
      <c r="A38" s="6" t="n"/>
      <c r="B38" s="7" t="inlineStr">
        <is>
          <t>NPBT (£)</t>
        </is>
      </c>
      <c r="C38" s="4" t="n"/>
      <c r="D38" s="40" t="n">
        <v>200000</v>
      </c>
      <c r="E38" s="56">
        <f>E37*E34*1000000</f>
        <v/>
      </c>
      <c r="F38" s="56">
        <f>F37*F34*1000000</f>
        <v/>
      </c>
      <c r="G38" s="19">
        <f>G37*G34*1000000</f>
        <v/>
      </c>
      <c r="H38" s="52" t="n"/>
      <c r="I38" s="82" t="n"/>
      <c r="J38" s="135" t="n"/>
    </row>
    <row r="39" hidden="1">
      <c r="B39" s="7" t="inlineStr">
        <is>
          <t>Non-labour cost saving (% points of turnover, calc.)</t>
        </is>
      </c>
      <c r="D39" s="136" t="n">
        <v>0</v>
      </c>
      <c r="E39" s="137">
        <f>(($D$34*1000000-$D$36-$D$38)/($D$34*1000000))-(E34*1000000-E36-E38)/(E34*1000000)</f>
        <v/>
      </c>
      <c r="F39" s="137">
        <f>(($D$34*1000000-$D$36-$D$38)/($D$34*1000000))-(F34*1000000-F36-F38)/(F34*1000000)</f>
        <v/>
      </c>
      <c r="G39" s="138">
        <f>(($D$34*1000000-$D$36-$D$38)/($D$34*1000000))-(G34*1000000-G36-G38)/(G34*1000000)</f>
        <v/>
      </c>
    </row>
    <row r="40" ht="18" customHeight="1">
      <c r="A40" s="71" t="n"/>
      <c r="B40" s="18" t="inlineStr">
        <is>
          <t>Productivity gain vs baseline</t>
        </is>
      </c>
      <c r="C40" s="4" t="n"/>
      <c r="D40" s="28" t="n"/>
      <c r="E40" s="85">
        <f>(E34/E35)/($D$34/$D$35)-1</f>
        <v/>
      </c>
      <c r="F40" s="85">
        <f>(F34/F35)/($D$34/$D$35)-1</f>
        <v/>
      </c>
      <c r="G40" s="86">
        <f>(G34/G35)/($D$34/$D$35)-1</f>
        <v/>
      </c>
      <c r="H40" s="52" t="n"/>
      <c r="I40" s="82" t="n"/>
    </row>
    <row r="41">
      <c r="A41" s="75" t="n"/>
      <c r="B41" s="8" t="inlineStr">
        <is>
          <t>WITH GRANT</t>
        </is>
      </c>
      <c r="C41" s="1" t="n"/>
      <c r="D41" s="20" t="n"/>
      <c r="E41" s="87" t="n"/>
      <c r="F41" s="87" t="n"/>
      <c r="G41" s="21" t="n"/>
      <c r="H41" s="52" t="n"/>
    </row>
    <row r="42">
      <c r="A42" s="6" t="n"/>
      <c r="B42" s="7" t="inlineStr">
        <is>
          <t>Rev (£, millions)</t>
        </is>
      </c>
      <c r="C42" s="4" t="n"/>
      <c r="D42" s="139">
        <f>D34</f>
        <v/>
      </c>
      <c r="E42" s="130" t="n">
        <v>2.4</v>
      </c>
      <c r="F42" s="130" t="n">
        <v>3</v>
      </c>
      <c r="G42" s="131" t="n">
        <v>3.8</v>
      </c>
      <c r="H42" s="79" t="n"/>
      <c r="L42" s="55" t="n"/>
    </row>
    <row r="43">
      <c r="A43" s="6" t="n"/>
      <c r="B43" s="7" t="inlineStr">
        <is>
          <t>FTEs</t>
        </is>
      </c>
      <c r="C43" s="4" t="n"/>
      <c r="D43" s="11">
        <f>D35</f>
        <v/>
      </c>
      <c r="E43" s="83" t="n">
        <v>24</v>
      </c>
      <c r="F43" s="83" t="n">
        <v>25</v>
      </c>
      <c r="G43" s="39" t="n">
        <v>26</v>
      </c>
      <c r="H43" s="52" t="n"/>
      <c r="J43" s="81" t="n"/>
      <c r="K43" s="81" t="n"/>
      <c r="L43" s="81" t="n"/>
    </row>
    <row r="44">
      <c r="A44" s="6" t="n"/>
      <c r="B44" s="7" t="inlineStr">
        <is>
          <t>Labour£</t>
        </is>
      </c>
      <c r="C44" s="4" t="n"/>
      <c r="D44" s="22">
        <f>D36</f>
        <v/>
      </c>
      <c r="E44" s="56">
        <f>E43*$A$36</f>
        <v/>
      </c>
      <c r="F44" s="56">
        <f>F43*$A$36</f>
        <v/>
      </c>
      <c r="G44" s="19">
        <f>G43*$A$36</f>
        <v/>
      </c>
      <c r="H44" s="52" t="n"/>
      <c r="J44" s="81" t="n"/>
      <c r="K44" s="81" t="n"/>
      <c r="L44" s="81" t="n"/>
    </row>
    <row r="45">
      <c r="A45" s="6" t="n"/>
      <c r="B45" s="7" t="inlineStr">
        <is>
          <t>NPBT %</t>
        </is>
      </c>
      <c r="C45" s="4" t="n"/>
      <c r="D45" s="132">
        <f>D37</f>
        <v/>
      </c>
      <c r="E45" s="133" t="n">
        <v>0.11</v>
      </c>
      <c r="F45" s="133" t="n">
        <v>0.12</v>
      </c>
      <c r="G45" s="134" t="n">
        <v>0.13</v>
      </c>
      <c r="H45" s="79" t="n"/>
      <c r="J45" s="81" t="n"/>
      <c r="K45" s="81" t="n"/>
      <c r="L45" s="81" t="n"/>
    </row>
    <row r="46" ht="15" customHeight="1" thickBot="1">
      <c r="A46" s="6" t="n"/>
      <c r="B46" s="7" t="inlineStr">
        <is>
          <t>NPBT £</t>
        </is>
      </c>
      <c r="C46" s="4" t="n"/>
      <c r="D46" s="22">
        <f>D38</f>
        <v/>
      </c>
      <c r="E46" s="56">
        <f>E45*E42*1000000</f>
        <v/>
      </c>
      <c r="F46" s="56">
        <f>F45*F42*1000000</f>
        <v/>
      </c>
      <c r="G46" s="19">
        <f>G45*G42*1000000</f>
        <v/>
      </c>
      <c r="H46" s="53" t="n"/>
      <c r="J46" s="81" t="n"/>
      <c r="K46" s="81" t="n"/>
      <c r="L46" s="81" t="n"/>
    </row>
    <row r="47" hidden="1" ht="15" customHeight="1" thickBot="1">
      <c r="B47" s="7" t="inlineStr">
        <is>
          <t>Non-labour cost saving (% points of turnover, calc.)</t>
        </is>
      </c>
      <c r="D47" s="136" t="n">
        <v>0</v>
      </c>
      <c r="E47" s="137">
        <f>(($D$34*1000000-$D$36-$D$38)/($D$34*1000000))-(E42*1000000-E44-E46)/(E42*1000000)</f>
        <v/>
      </c>
      <c r="F47" s="137">
        <f>(($D$34*1000000-$D$36-$D$38)/($D$34*1000000))-(F42*1000000-F44-F46)/(F42*1000000)</f>
        <v/>
      </c>
      <c r="G47" s="138">
        <f>(($D$34*1000000-$D$36-$D$38)/($D$34*1000000))-(G42*1000000-G44-G46)/(G42*1000000)</f>
        <v/>
      </c>
    </row>
    <row r="48">
      <c r="B48" s="18" t="inlineStr">
        <is>
          <t>Productivity gain vs baseline</t>
        </is>
      </c>
      <c r="C48" s="4" t="n"/>
      <c r="D48" s="41" t="n"/>
      <c r="E48" s="88">
        <f>(E42/E43)/($D$42/$D$43)-1</f>
        <v/>
      </c>
      <c r="F48" s="88">
        <f>(F42/F43)/($D$42/$D$43)-1</f>
        <v/>
      </c>
      <c r="G48" s="89">
        <f>(G42/G43)/($D$42/$D$43)-1</f>
        <v/>
      </c>
      <c r="H48" s="52" t="n"/>
      <c r="J48" s="81" t="n"/>
      <c r="K48" s="81" t="n"/>
      <c r="L48" s="81" t="n"/>
    </row>
    <row r="49" ht="15" customHeight="1" thickBot="1">
      <c r="C49" s="1" t="n"/>
      <c r="H49" s="52" t="n"/>
      <c r="J49" s="81" t="n"/>
      <c r="K49" s="81" t="n"/>
      <c r="L49" s="81" t="n"/>
    </row>
    <row r="50" ht="15" customHeight="1" thickBot="1">
      <c r="B50" s="10" t="inlineStr">
        <is>
          <t>Productivity Imp. per Employee (£)</t>
        </is>
      </c>
      <c r="C50" s="4" t="n"/>
      <c r="D50" s="42" t="n"/>
      <c r="E50" s="43">
        <f>(E42/E43-E34/E35)*1000000</f>
        <v/>
      </c>
      <c r="F50" s="43">
        <f>(F42/F43-F34/F35)*1000000</f>
        <v/>
      </c>
      <c r="G50" s="44">
        <f>(G42/G43-G34/G35)*1000000</f>
        <v/>
      </c>
      <c r="H50" s="52" t="n"/>
      <c r="J50" s="81" t="n"/>
      <c r="K50" s="81" t="n"/>
      <c r="L50" s="81" t="n"/>
    </row>
    <row r="51">
      <c r="B51" s="10" t="inlineStr">
        <is>
          <t>Productivity Improvement (% pts)</t>
        </is>
      </c>
      <c r="C51" s="4" t="n"/>
      <c r="D51" s="41" t="inlineStr">
        <is>
          <t>Increase over No Grant</t>
        </is>
      </c>
      <c r="E51" s="45">
        <f>E48-E40</f>
        <v/>
      </c>
      <c r="F51" s="45">
        <f>F48-F40</f>
        <v/>
      </c>
      <c r="G51" s="46">
        <f>G48-G40</f>
        <v/>
      </c>
      <c r="H51" s="52" t="n"/>
      <c r="J51" s="81" t="n"/>
      <c r="K51" s="81" t="n"/>
      <c r="L51" s="81" t="n"/>
    </row>
    <row r="52" ht="15" customHeight="1" thickBot="1">
      <c r="C52" s="1" t="n"/>
      <c r="D52" s="27" t="n"/>
      <c r="E52" s="27" t="n"/>
      <c r="F52" s="27" t="n"/>
      <c r="G52" s="27" t="n"/>
      <c r="H52" s="52" t="n"/>
      <c r="J52" s="81" t="n"/>
      <c r="K52" s="81" t="n"/>
      <c r="L52" s="81" t="n"/>
    </row>
    <row r="53">
      <c r="B53" s="10" t="n"/>
      <c r="C53" s="4" t="n"/>
      <c r="D53" s="47" t="inlineStr">
        <is>
          <t xml:space="preserve"> Total Annual Hiring</t>
        </is>
      </c>
      <c r="E53" s="48">
        <f>E43-D43</f>
        <v/>
      </c>
      <c r="F53" s="48">
        <f>F43-E43</f>
        <v/>
      </c>
      <c r="G53" s="49">
        <f>G43-F43</f>
        <v/>
      </c>
      <c r="H53" s="51" t="n"/>
      <c r="J53" s="81" t="n"/>
      <c r="K53" s="81" t="n"/>
      <c r="L53" s="81" t="n"/>
    </row>
    <row r="54">
      <c r="C54" s="4" t="n"/>
      <c r="D54" s="50" t="inlineStr">
        <is>
          <t>Net Hiring Vs No Grant</t>
        </is>
      </c>
      <c r="E54" s="24">
        <f>E53-(E35-D35)</f>
        <v/>
      </c>
      <c r="F54" s="24">
        <f>F53-(F35-E35)</f>
        <v/>
      </c>
      <c r="G54" s="25">
        <f>G53-(G35-F35)</f>
        <v/>
      </c>
      <c r="H54" s="51" t="n"/>
      <c r="J54" s="81" t="n"/>
      <c r="K54" s="81" t="n"/>
      <c r="L54" s="81" t="n"/>
    </row>
    <row r="55">
      <c r="D55" s="26" t="n"/>
      <c r="E55" s="27" t="n"/>
      <c r="F55" s="27" t="n"/>
      <c r="G55" s="27" t="n"/>
      <c r="H55" s="52" t="n"/>
      <c r="J55" s="81" t="n"/>
      <c r="K55" s="81" t="n"/>
      <c r="L55" s="81" t="n"/>
    </row>
    <row r="56">
      <c r="E56" s="80" t="n"/>
      <c r="F56" s="80" t="n"/>
      <c r="H56" s="52" t="n"/>
      <c r="J56" s="81" t="n"/>
      <c r="K56" s="81" t="n"/>
      <c r="L56" s="81" t="n"/>
    </row>
    <row r="57" hidden="1">
      <c r="B57" s="7" t="inlineStr">
        <is>
          <t>App settings (GVA Scenario Modeler - do not edit)</t>
        </is>
      </c>
      <c r="H57" s="78" t="n"/>
      <c r="J57" s="81" t="n"/>
      <c r="K57" s="81" t="n"/>
      <c r="L57" s="81" t="n"/>
    </row>
    <row r="58" hidden="1">
      <c r="B58" s="7" t="inlineStr">
        <is>
          <t>Productivity target (% vs baseline), Y1-Y3 - No grant</t>
        </is>
      </c>
      <c r="E58" s="140" t="n">
        <v>0</v>
      </c>
      <c r="F58" s="140" t="n">
        <v>0</v>
      </c>
      <c r="G58" s="140" t="n">
        <v>0</v>
      </c>
    </row>
    <row r="59" hidden="1">
      <c r="B59" s="7" t="inlineStr">
        <is>
          <t>Productivity target (% vs baseline), Y1-Y3 - With grant</t>
        </is>
      </c>
      <c r="E59" s="140" t="n">
        <v>0</v>
      </c>
      <c r="F59" s="140" t="n">
        <v>0</v>
      </c>
      <c r="G59" s="140" t="n">
        <v>0</v>
      </c>
      <c r="H59" s="76" t="n"/>
    </row>
    <row r="60" hidden="1">
      <c r="B60" s="7" t="inlineStr">
        <is>
          <t>Model version</t>
        </is>
      </c>
      <c r="G60" s="141" t="inlineStr">
        <is>
          <t>1.0</t>
        </is>
      </c>
    </row>
  </sheetData>
  <mergeCells count="9">
    <mergeCell ref="D15:G16"/>
    <mergeCell ref="D30:G31"/>
    <mergeCell ref="B8:B11"/>
    <mergeCell ref="D1:G1"/>
    <mergeCell ref="B3:B7"/>
    <mergeCell ref="D13:G13"/>
    <mergeCell ref="D2:G2"/>
    <mergeCell ref="D28:G28"/>
    <mergeCell ref="D14:G14"/>
  </mergeCells>
  <pageMargins left="0.3149606299212598" right="0.3149606299212598" top="0.7480314960629921" bottom="0.7480314960629921" header="0.3149606299212598" footer="0.3149606299212598"/>
  <pageSetup orientation="landscape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42" t="inlineStr">
        <is>
          <t>PROFIT &amp; LOSS - Without and With Grant</t>
        </is>
      </c>
      <c r="D1" s="143">
        <f>GVA!D2</f>
        <v/>
      </c>
    </row>
    <row r="3">
      <c r="B3" s="144" t="inlineStr">
        <is>
          <t>WITHOUT GRANT (BAU)</t>
        </is>
      </c>
      <c r="D3" s="145" t="inlineStr">
        <is>
          <t>Baseline</t>
        </is>
      </c>
      <c r="E3" s="145" t="inlineStr">
        <is>
          <t>Year 1</t>
        </is>
      </c>
      <c r="F3" s="145" t="inlineStr">
        <is>
          <t>Year 2</t>
        </is>
      </c>
      <c r="G3" s="145" t="inlineStr">
        <is>
          <t>Year 3</t>
        </is>
      </c>
    </row>
    <row r="4">
      <c r="B4" s="143" t="inlineStr">
        <is>
          <t>Turnover</t>
        </is>
      </c>
      <c r="D4" s="146">
        <f>GVA!D34*1000000</f>
        <v/>
      </c>
      <c r="E4" s="146">
        <f>GVA!E34*1000000</f>
        <v/>
      </c>
      <c r="F4" s="146">
        <f>GVA!F34*1000000</f>
        <v/>
      </c>
      <c r="G4" s="146">
        <f>GVA!G34*1000000</f>
        <v/>
      </c>
    </row>
    <row r="5">
      <c r="B5" s="147" t="inlineStr">
        <is>
          <t>Materials &amp; plant hire</t>
        </is>
      </c>
      <c r="D5" s="148">
        <f>IFERROR((0.5*GVA!$D$34*1000000-0.7*GVA!$D$36)/(GVA!$D$34*1000000-GVA!$D$36-GVA!$D$38),0)*(D4-GVA!D36-GVA!D38)</f>
        <v/>
      </c>
      <c r="E5" s="148">
        <f>IFERROR((0.5*GVA!$D$34*1000000-0.7*GVA!$D$36)/(GVA!$D$34*1000000-GVA!$D$36-GVA!$D$38),0)*(E4-GVA!E36-GVA!E38)</f>
        <v/>
      </c>
      <c r="F5" s="148">
        <f>IFERROR((0.5*GVA!$D$34*1000000-0.7*GVA!$D$36)/(GVA!$D$34*1000000-GVA!$D$36-GVA!$D$38),0)*(F4-GVA!F36-GVA!F38)</f>
        <v/>
      </c>
      <c r="G5" s="148">
        <f>IFERROR((0.5*GVA!$D$34*1000000-0.7*GVA!$D$36)/(GVA!$D$34*1000000-GVA!$D$36-GVA!$D$38),0)*(G4-GVA!G36-GVA!G38)</f>
        <v/>
      </c>
    </row>
    <row r="6">
      <c r="B6" s="149" t="inlineStr">
        <is>
          <t>% of turnover</t>
        </is>
      </c>
      <c r="D6" s="150">
        <f>IFERROR(D5/D4,0)</f>
        <v/>
      </c>
      <c r="E6" s="150">
        <f>IFERROR(E5/E4,0)</f>
        <v/>
      </c>
      <c r="F6" s="150">
        <f>IFERROR(F5/F4,0)</f>
        <v/>
      </c>
      <c r="G6" s="150">
        <f>IFERROR(G5/G4,0)</f>
        <v/>
      </c>
    </row>
    <row r="7">
      <c r="B7" s="147" t="inlineStr">
        <is>
          <t>Direct staff cost</t>
        </is>
      </c>
      <c r="D7" s="148">
        <f>0.7*GVA!D36</f>
        <v/>
      </c>
      <c r="E7" s="148">
        <f>0.7*GVA!E36</f>
        <v/>
      </c>
      <c r="F7" s="148">
        <f>0.7*GVA!F36</f>
        <v/>
      </c>
      <c r="G7" s="148">
        <f>0.7*GVA!G36</f>
        <v/>
      </c>
    </row>
    <row r="8">
      <c r="B8" s="149" t="inlineStr">
        <is>
          <t>% of turnover</t>
        </is>
      </c>
      <c r="D8" s="150">
        <f>IFERROR(D7/D4,0)</f>
        <v/>
      </c>
      <c r="E8" s="150">
        <f>IFERROR(E7/E4,0)</f>
        <v/>
      </c>
      <c r="F8" s="150">
        <f>IFERROR(F7/F4,0)</f>
        <v/>
      </c>
      <c r="G8" s="150">
        <f>IFERROR(G7/G4,0)</f>
        <v/>
      </c>
    </row>
    <row r="9">
      <c r="B9" s="143" t="inlineStr">
        <is>
          <t>Cost of sales</t>
        </is>
      </c>
      <c r="D9" s="151">
        <f>D5+D7</f>
        <v/>
      </c>
      <c r="E9" s="151">
        <f>E5+E7</f>
        <v/>
      </c>
      <c r="F9" s="151">
        <f>F5+F7</f>
        <v/>
      </c>
      <c r="G9" s="151">
        <f>G5+G7</f>
        <v/>
      </c>
    </row>
    <row r="10">
      <c r="B10" s="147" t="inlineStr">
        <is>
          <t>% of turnover</t>
        </is>
      </c>
      <c r="D10" s="150">
        <f>IFERROR(D9/D4,0)</f>
        <v/>
      </c>
      <c r="E10" s="150">
        <f>IFERROR(E9/E4,0)</f>
        <v/>
      </c>
      <c r="F10" s="150">
        <f>IFERROR(F9/F4,0)</f>
        <v/>
      </c>
      <c r="G10" s="150">
        <f>IFERROR(G9/G4,0)</f>
        <v/>
      </c>
    </row>
    <row r="11">
      <c r="B11" s="143" t="inlineStr">
        <is>
          <t>Gross profit</t>
        </is>
      </c>
      <c r="D11" s="151">
        <f>D4-D9</f>
        <v/>
      </c>
      <c r="E11" s="151">
        <f>E4-E9</f>
        <v/>
      </c>
      <c r="F11" s="151">
        <f>F4-F9</f>
        <v/>
      </c>
      <c r="G11" s="151">
        <f>G4-G9</f>
        <v/>
      </c>
    </row>
    <row r="12">
      <c r="B12" s="147" t="inlineStr">
        <is>
          <t>Gross profit %</t>
        </is>
      </c>
      <c r="D12" s="150">
        <f>IFERROR(D11/D4,0)</f>
        <v/>
      </c>
      <c r="E12" s="150">
        <f>IFERROR(E11/E4,0)</f>
        <v/>
      </c>
      <c r="F12" s="150">
        <f>IFERROR(F11/F4,0)</f>
        <v/>
      </c>
      <c r="G12" s="150">
        <f>IFERROR(G11/G4,0)</f>
        <v/>
      </c>
    </row>
    <row r="13">
      <c r="B13" s="147" t="inlineStr">
        <is>
          <t>Indirect staff cost</t>
        </is>
      </c>
      <c r="D13" s="148">
        <f>0.3*GVA!D36</f>
        <v/>
      </c>
      <c r="E13" s="148">
        <f>0.3*GVA!E36</f>
        <v/>
      </c>
      <c r="F13" s="148">
        <f>0.3*GVA!F36</f>
        <v/>
      </c>
      <c r="G13" s="148">
        <f>0.3*GVA!G36</f>
        <v/>
      </c>
    </row>
    <row r="14">
      <c r="B14" s="149" t="inlineStr">
        <is>
          <t>% of turnover</t>
        </is>
      </c>
      <c r="D14" s="150">
        <f>IFERROR(D13/D4,0)</f>
        <v/>
      </c>
      <c r="E14" s="150">
        <f>IFERROR(E13/E4,0)</f>
        <v/>
      </c>
      <c r="F14" s="150">
        <f>IFERROR(F13/F4,0)</f>
        <v/>
      </c>
      <c r="G14" s="150">
        <f>IFERROR(G13/G4,0)</f>
        <v/>
      </c>
    </row>
    <row r="15">
      <c r="B15" s="147" t="inlineStr">
        <is>
          <t>Indirect costs</t>
        </is>
      </c>
      <c r="D15" s="148">
        <f>D11-D13-GVA!D38</f>
        <v/>
      </c>
      <c r="E15" s="148">
        <f>E11-E13-GVA!E38</f>
        <v/>
      </c>
      <c r="F15" s="148">
        <f>F11-F13-GVA!F38</f>
        <v/>
      </c>
      <c r="G15" s="148">
        <f>G11-G13-GVA!G38</f>
        <v/>
      </c>
    </row>
    <row r="16">
      <c r="B16" s="149" t="inlineStr">
        <is>
          <t>% of turnover</t>
        </is>
      </c>
      <c r="D16" s="150">
        <f>IFERROR(D15/D4,0)</f>
        <v/>
      </c>
      <c r="E16" s="150">
        <f>IFERROR(E15/E4,0)</f>
        <v/>
      </c>
      <c r="F16" s="150">
        <f>IFERROR(F15/F4,0)</f>
        <v/>
      </c>
      <c r="G16" s="150">
        <f>IFERROR(G15/G4,0)</f>
        <v/>
      </c>
    </row>
    <row r="17">
      <c r="B17" s="143" t="inlineStr">
        <is>
          <t>Administrative expenses</t>
        </is>
      </c>
      <c r="D17" s="151">
        <f>D13+D15</f>
        <v/>
      </c>
      <c r="E17" s="151">
        <f>E13+E15</f>
        <v/>
      </c>
      <c r="F17" s="151">
        <f>F13+F15</f>
        <v/>
      </c>
      <c r="G17" s="151">
        <f>G13+G15</f>
        <v/>
      </c>
    </row>
    <row r="18">
      <c r="B18" s="147" t="inlineStr">
        <is>
          <t>% of turnover</t>
        </is>
      </c>
      <c r="D18" s="150">
        <f>IFERROR(D17/D4,0)</f>
        <v/>
      </c>
      <c r="E18" s="150">
        <f>IFERROR(E17/E4,0)</f>
        <v/>
      </c>
      <c r="F18" s="150">
        <f>IFERROR(F17/F4,0)</f>
        <v/>
      </c>
      <c r="G18" s="150">
        <f>IFERROR(G17/G4,0)</f>
        <v/>
      </c>
    </row>
    <row r="19">
      <c r="B19" s="143" t="inlineStr">
        <is>
          <t>Net profit before tax</t>
        </is>
      </c>
      <c r="D19" s="151">
        <f>D11-D17</f>
        <v/>
      </c>
      <c r="E19" s="151">
        <f>E11-E17</f>
        <v/>
      </c>
      <c r="F19" s="151">
        <f>F11-F17</f>
        <v/>
      </c>
      <c r="G19" s="151">
        <f>G11-G17</f>
        <v/>
      </c>
    </row>
    <row r="20">
      <c r="B20" s="147" t="inlineStr">
        <is>
          <t>Net profit %</t>
        </is>
      </c>
      <c r="D20" s="150">
        <f>IFERROR(D19/D4,0)</f>
        <v/>
      </c>
      <c r="E20" s="150">
        <f>IFERROR(E19/E4,0)</f>
        <v/>
      </c>
      <c r="F20" s="150">
        <f>IFERROR(F19/F4,0)</f>
        <v/>
      </c>
      <c r="G20" s="150">
        <f>IFERROR(G19/G4,0)</f>
        <v/>
      </c>
    </row>
    <row r="21">
      <c r="B21" s="147" t="inlineStr">
        <is>
          <t>FTEs</t>
        </is>
      </c>
      <c r="D21" s="152">
        <f>GVA!D35</f>
        <v/>
      </c>
      <c r="E21" s="152">
        <f>GVA!E35</f>
        <v/>
      </c>
      <c r="F21" s="152">
        <f>GVA!F35</f>
        <v/>
      </c>
      <c r="G21" s="152">
        <f>GVA!G35</f>
        <v/>
      </c>
    </row>
    <row r="23">
      <c r="B23" s="144" t="inlineStr">
        <is>
          <t>WITH GRANT (ACCELERATED)</t>
        </is>
      </c>
      <c r="D23" s="145" t="inlineStr">
        <is>
          <t>Baseline</t>
        </is>
      </c>
      <c r="E23" s="145" t="inlineStr">
        <is>
          <t>Year 1</t>
        </is>
      </c>
      <c r="F23" s="145" t="inlineStr">
        <is>
          <t>Year 2</t>
        </is>
      </c>
      <c r="G23" s="145" t="inlineStr">
        <is>
          <t>Year 3</t>
        </is>
      </c>
    </row>
    <row r="24">
      <c r="B24" s="143" t="inlineStr">
        <is>
          <t>Turnover</t>
        </is>
      </c>
      <c r="D24" s="146">
        <f>GVA!D42*1000000</f>
        <v/>
      </c>
      <c r="E24" s="146">
        <f>GVA!E42*1000000</f>
        <v/>
      </c>
      <c r="F24" s="146">
        <f>GVA!F42*1000000</f>
        <v/>
      </c>
      <c r="G24" s="146">
        <f>GVA!G42*1000000</f>
        <v/>
      </c>
    </row>
    <row r="25">
      <c r="B25" s="147" t="inlineStr">
        <is>
          <t>Materials &amp; plant hire</t>
        </is>
      </c>
      <c r="D25" s="148">
        <f>IFERROR((0.5*GVA!$D$34*1000000-0.7*GVA!$D$36)/(GVA!$D$34*1000000-GVA!$D$36-GVA!$D$38),0)*(D24-GVA!D44-GVA!D46)</f>
        <v/>
      </c>
      <c r="E25" s="148">
        <f>IFERROR((0.5*GVA!$D$34*1000000-0.7*GVA!$D$36)/(GVA!$D$34*1000000-GVA!$D$36-GVA!$D$38),0)*(E24-GVA!E44-GVA!E46)</f>
        <v/>
      </c>
      <c r="F25" s="148">
        <f>IFERROR((0.5*GVA!$D$34*1000000-0.7*GVA!$D$36)/(GVA!$D$34*1000000-GVA!$D$36-GVA!$D$38),0)*(F24-GVA!F44-GVA!F46)</f>
        <v/>
      </c>
      <c r="G25" s="148">
        <f>IFERROR((0.5*GVA!$D$34*1000000-0.7*GVA!$D$36)/(GVA!$D$34*1000000-GVA!$D$36-GVA!$D$38),0)*(G24-GVA!G44-GVA!G46)</f>
        <v/>
      </c>
    </row>
    <row r="26">
      <c r="B26" s="149" t="inlineStr">
        <is>
          <t>% of turnover</t>
        </is>
      </c>
      <c r="D26" s="150">
        <f>IFERROR(D25/D24,0)</f>
        <v/>
      </c>
      <c r="E26" s="150">
        <f>IFERROR(E25/E24,0)</f>
        <v/>
      </c>
      <c r="F26" s="150">
        <f>IFERROR(F25/F24,0)</f>
        <v/>
      </c>
      <c r="G26" s="150">
        <f>IFERROR(G25/G24,0)</f>
        <v/>
      </c>
    </row>
    <row r="27">
      <c r="B27" s="147" t="inlineStr">
        <is>
          <t>Direct staff cost</t>
        </is>
      </c>
      <c r="D27" s="148">
        <f>0.7*GVA!D44</f>
        <v/>
      </c>
      <c r="E27" s="148">
        <f>0.7*GVA!E44</f>
        <v/>
      </c>
      <c r="F27" s="148">
        <f>0.7*GVA!F44</f>
        <v/>
      </c>
      <c r="G27" s="148">
        <f>0.7*GVA!G44</f>
        <v/>
      </c>
    </row>
    <row r="28">
      <c r="B28" s="149" t="inlineStr">
        <is>
          <t>% of turnover</t>
        </is>
      </c>
      <c r="D28" s="150">
        <f>IFERROR(D27/D24,0)</f>
        <v/>
      </c>
      <c r="E28" s="150">
        <f>IFERROR(E27/E24,0)</f>
        <v/>
      </c>
      <c r="F28" s="150">
        <f>IFERROR(F27/F24,0)</f>
        <v/>
      </c>
      <c r="G28" s="150">
        <f>IFERROR(G27/G24,0)</f>
        <v/>
      </c>
    </row>
    <row r="29">
      <c r="B29" s="143" t="inlineStr">
        <is>
          <t>Cost of sales</t>
        </is>
      </c>
      <c r="D29" s="151">
        <f>D25+D27</f>
        <v/>
      </c>
      <c r="E29" s="151">
        <f>E25+E27</f>
        <v/>
      </c>
      <c r="F29" s="151">
        <f>F25+F27</f>
        <v/>
      </c>
      <c r="G29" s="151">
        <f>G25+G27</f>
        <v/>
      </c>
    </row>
    <row r="30">
      <c r="B30" s="147" t="inlineStr">
        <is>
          <t>% of turnover</t>
        </is>
      </c>
      <c r="D30" s="150">
        <f>IFERROR(D29/D24,0)</f>
        <v/>
      </c>
      <c r="E30" s="150">
        <f>IFERROR(E29/E24,0)</f>
        <v/>
      </c>
      <c r="F30" s="150">
        <f>IFERROR(F29/F24,0)</f>
        <v/>
      </c>
      <c r="G30" s="150">
        <f>IFERROR(G29/G24,0)</f>
        <v/>
      </c>
    </row>
    <row r="31">
      <c r="B31" s="143" t="inlineStr">
        <is>
          <t>Gross profit</t>
        </is>
      </c>
      <c r="D31" s="151">
        <f>D24-D29</f>
        <v/>
      </c>
      <c r="E31" s="151">
        <f>E24-E29</f>
        <v/>
      </c>
      <c r="F31" s="151">
        <f>F24-F29</f>
        <v/>
      </c>
      <c r="G31" s="151">
        <f>G24-G29</f>
        <v/>
      </c>
    </row>
    <row r="32">
      <c r="B32" s="147" t="inlineStr">
        <is>
          <t>Gross profit %</t>
        </is>
      </c>
      <c r="D32" s="150">
        <f>IFERROR(D31/D24,0)</f>
        <v/>
      </c>
      <c r="E32" s="150">
        <f>IFERROR(E31/E24,0)</f>
        <v/>
      </c>
      <c r="F32" s="150">
        <f>IFERROR(F31/F24,0)</f>
        <v/>
      </c>
      <c r="G32" s="150">
        <f>IFERROR(G31/G24,0)</f>
        <v/>
      </c>
    </row>
    <row r="33">
      <c r="B33" s="147" t="inlineStr">
        <is>
          <t>Indirect staff cost</t>
        </is>
      </c>
      <c r="D33" s="148">
        <f>0.3*GVA!D44</f>
        <v/>
      </c>
      <c r="E33" s="148">
        <f>0.3*GVA!E44</f>
        <v/>
      </c>
      <c r="F33" s="148">
        <f>0.3*GVA!F44</f>
        <v/>
      </c>
      <c r="G33" s="148">
        <f>0.3*GVA!G44</f>
        <v/>
      </c>
    </row>
    <row r="34">
      <c r="B34" s="149" t="inlineStr">
        <is>
          <t>% of turnover</t>
        </is>
      </c>
      <c r="D34" s="150">
        <f>IFERROR(D33/D24,0)</f>
        <v/>
      </c>
      <c r="E34" s="150">
        <f>IFERROR(E33/E24,0)</f>
        <v/>
      </c>
      <c r="F34" s="150">
        <f>IFERROR(F33/F24,0)</f>
        <v/>
      </c>
      <c r="G34" s="150">
        <f>IFERROR(G33/G24,0)</f>
        <v/>
      </c>
    </row>
    <row r="35">
      <c r="B35" s="147" t="inlineStr">
        <is>
          <t>Indirect costs</t>
        </is>
      </c>
      <c r="D35" s="148">
        <f>D31-D33-GVA!D46</f>
        <v/>
      </c>
      <c r="E35" s="148">
        <f>E31-E33-GVA!E46</f>
        <v/>
      </c>
      <c r="F35" s="148">
        <f>F31-F33-GVA!F46</f>
        <v/>
      </c>
      <c r="G35" s="148">
        <f>G31-G33-GVA!G46</f>
        <v/>
      </c>
    </row>
    <row r="36">
      <c r="B36" s="149" t="inlineStr">
        <is>
          <t>% of turnover</t>
        </is>
      </c>
      <c r="D36" s="150">
        <f>IFERROR(D35/D24,0)</f>
        <v/>
      </c>
      <c r="E36" s="150">
        <f>IFERROR(E35/E24,0)</f>
        <v/>
      </c>
      <c r="F36" s="150">
        <f>IFERROR(F35/F24,0)</f>
        <v/>
      </c>
      <c r="G36" s="150">
        <f>IFERROR(G35/G24,0)</f>
        <v/>
      </c>
    </row>
    <row r="37">
      <c r="B37" s="143" t="inlineStr">
        <is>
          <t>Administrative expenses</t>
        </is>
      </c>
      <c r="D37" s="151">
        <f>D33+D35</f>
        <v/>
      </c>
      <c r="E37" s="151">
        <f>E33+E35</f>
        <v/>
      </c>
      <c r="F37" s="151">
        <f>F33+F35</f>
        <v/>
      </c>
      <c r="G37" s="151">
        <f>G33+G35</f>
        <v/>
      </c>
    </row>
    <row r="38">
      <c r="B38" s="147" t="inlineStr">
        <is>
          <t>% of turnover</t>
        </is>
      </c>
      <c r="D38" s="150">
        <f>IFERROR(D37/D24,0)</f>
        <v/>
      </c>
      <c r="E38" s="150">
        <f>IFERROR(E37/E24,0)</f>
        <v/>
      </c>
      <c r="F38" s="150">
        <f>IFERROR(F37/F24,0)</f>
        <v/>
      </c>
      <c r="G38" s="150">
        <f>IFERROR(G37/G24,0)</f>
        <v/>
      </c>
    </row>
    <row r="39">
      <c r="B39" s="143" t="inlineStr">
        <is>
          <t>Net profit before tax</t>
        </is>
      </c>
      <c r="D39" s="151">
        <f>D31-D37</f>
        <v/>
      </c>
      <c r="E39" s="151">
        <f>E31-E37</f>
        <v/>
      </c>
      <c r="F39" s="151">
        <f>F31-F37</f>
        <v/>
      </c>
      <c r="G39" s="151">
        <f>G31-G37</f>
        <v/>
      </c>
    </row>
    <row r="40">
      <c r="B40" s="147" t="inlineStr">
        <is>
          <t>Net profit %</t>
        </is>
      </c>
      <c r="D40" s="150">
        <f>IFERROR(D39/D24,0)</f>
        <v/>
      </c>
      <c r="E40" s="150">
        <f>IFERROR(E39/E24,0)</f>
        <v/>
      </c>
      <c r="F40" s="150">
        <f>IFERROR(F39/F24,0)</f>
        <v/>
      </c>
      <c r="G40" s="150">
        <f>IFERROR(G39/G24,0)</f>
        <v/>
      </c>
    </row>
    <row r="41">
      <c r="B41" s="147" t="inlineStr">
        <is>
          <t>FTEs</t>
        </is>
      </c>
      <c r="D41" s="152">
        <f>GVA!D43</f>
        <v/>
      </c>
      <c r="E41" s="152">
        <f>GVA!E43</f>
        <v/>
      </c>
      <c r="F41" s="152">
        <f>GVA!F43</f>
        <v/>
      </c>
      <c r="G41" s="152">
        <f>GVA!G43</f>
        <v/>
      </c>
    </row>
    <row r="43">
      <c r="B43" s="144" t="inlineStr">
        <is>
          <t>DIFFERENCE (WITH - WITHOUT GRANT)</t>
        </is>
      </c>
      <c r="D43" s="145" t="inlineStr">
        <is>
          <t>Baseline</t>
        </is>
      </c>
      <c r="E43" s="145" t="inlineStr">
        <is>
          <t>Year 1</t>
        </is>
      </c>
      <c r="F43" s="145" t="inlineStr">
        <is>
          <t>Year 2</t>
        </is>
      </c>
      <c r="G43" s="145" t="inlineStr">
        <is>
          <t>Year 3</t>
        </is>
      </c>
    </row>
    <row r="44">
      <c r="B44" s="143" t="inlineStr">
        <is>
          <t>Turnover</t>
        </is>
      </c>
      <c r="D44" s="146">
        <f>D24-D4</f>
        <v/>
      </c>
      <c r="E44" s="146">
        <f>E24-E4</f>
        <v/>
      </c>
      <c r="F44" s="146">
        <f>F24-F4</f>
        <v/>
      </c>
      <c r="G44" s="146">
        <f>G24-G4</f>
        <v/>
      </c>
    </row>
    <row r="45">
      <c r="B45" s="147" t="inlineStr">
        <is>
          <t>Materials &amp; plant hire</t>
        </is>
      </c>
      <c r="D45" s="148">
        <f>D25-D5</f>
        <v/>
      </c>
      <c r="E45" s="148">
        <f>E25-E5</f>
        <v/>
      </c>
      <c r="F45" s="148">
        <f>F25-F5</f>
        <v/>
      </c>
      <c r="G45" s="148">
        <f>G25-G5</f>
        <v/>
      </c>
    </row>
    <row r="46">
      <c r="B46" s="149" t="inlineStr">
        <is>
          <t>% of turnover (% points)</t>
        </is>
      </c>
      <c r="D46" s="153">
        <f>D26-D6</f>
        <v/>
      </c>
      <c r="E46" s="153">
        <f>E26-E6</f>
        <v/>
      </c>
      <c r="F46" s="153">
        <f>F26-F6</f>
        <v/>
      </c>
      <c r="G46" s="153">
        <f>G26-G6</f>
        <v/>
      </c>
    </row>
    <row r="47">
      <c r="B47" s="147" t="inlineStr">
        <is>
          <t>Direct staff cost</t>
        </is>
      </c>
      <c r="D47" s="148">
        <f>D27-D7</f>
        <v/>
      </c>
      <c r="E47" s="148">
        <f>E27-E7</f>
        <v/>
      </c>
      <c r="F47" s="148">
        <f>F27-F7</f>
        <v/>
      </c>
      <c r="G47" s="148">
        <f>G27-G7</f>
        <v/>
      </c>
    </row>
    <row r="48">
      <c r="B48" s="149" t="inlineStr">
        <is>
          <t>% of turnover (% points)</t>
        </is>
      </c>
      <c r="D48" s="153">
        <f>D28-D8</f>
        <v/>
      </c>
      <c r="E48" s="153">
        <f>E28-E8</f>
        <v/>
      </c>
      <c r="F48" s="153">
        <f>F28-F8</f>
        <v/>
      </c>
      <c r="G48" s="153">
        <f>G28-G8</f>
        <v/>
      </c>
    </row>
    <row r="49">
      <c r="B49" s="143" t="inlineStr">
        <is>
          <t>Cost of sales</t>
        </is>
      </c>
      <c r="D49" s="151">
        <f>D29-D9</f>
        <v/>
      </c>
      <c r="E49" s="151">
        <f>E29-E9</f>
        <v/>
      </c>
      <c r="F49" s="151">
        <f>F29-F9</f>
        <v/>
      </c>
      <c r="G49" s="151">
        <f>G29-G9</f>
        <v/>
      </c>
    </row>
    <row r="50">
      <c r="B50" s="147" t="inlineStr">
        <is>
          <t>% of turnover (% points)</t>
        </is>
      </c>
      <c r="D50" s="153">
        <f>D30-D10</f>
        <v/>
      </c>
      <c r="E50" s="153">
        <f>E30-E10</f>
        <v/>
      </c>
      <c r="F50" s="153">
        <f>F30-F10</f>
        <v/>
      </c>
      <c r="G50" s="153">
        <f>G30-G10</f>
        <v/>
      </c>
    </row>
    <row r="51">
      <c r="B51" s="143" t="inlineStr">
        <is>
          <t>Gross profit</t>
        </is>
      </c>
      <c r="D51" s="151">
        <f>D31-D11</f>
        <v/>
      </c>
      <c r="E51" s="151">
        <f>E31-E11</f>
        <v/>
      </c>
      <c r="F51" s="151">
        <f>F31-F11</f>
        <v/>
      </c>
      <c r="G51" s="151">
        <f>G31-G11</f>
        <v/>
      </c>
    </row>
    <row r="52">
      <c r="B52" s="147" t="inlineStr">
        <is>
          <t>Gross profit % (% points)</t>
        </is>
      </c>
      <c r="D52" s="153">
        <f>D32-D12</f>
        <v/>
      </c>
      <c r="E52" s="153">
        <f>E32-E12</f>
        <v/>
      </c>
      <c r="F52" s="153">
        <f>F32-F12</f>
        <v/>
      </c>
      <c r="G52" s="153">
        <f>G32-G12</f>
        <v/>
      </c>
    </row>
    <row r="53">
      <c r="B53" s="147" t="inlineStr">
        <is>
          <t>Indirect staff cost</t>
        </is>
      </c>
      <c r="D53" s="148">
        <f>D33-D13</f>
        <v/>
      </c>
      <c r="E53" s="148">
        <f>E33-E13</f>
        <v/>
      </c>
      <c r="F53" s="148">
        <f>F33-F13</f>
        <v/>
      </c>
      <c r="G53" s="148">
        <f>G33-G13</f>
        <v/>
      </c>
    </row>
    <row r="54">
      <c r="B54" s="149" t="inlineStr">
        <is>
          <t>% of turnover (% points)</t>
        </is>
      </c>
      <c r="D54" s="153">
        <f>D34-D14</f>
        <v/>
      </c>
      <c r="E54" s="153">
        <f>E34-E14</f>
        <v/>
      </c>
      <c r="F54" s="153">
        <f>F34-F14</f>
        <v/>
      </c>
      <c r="G54" s="153">
        <f>G34-G14</f>
        <v/>
      </c>
    </row>
    <row r="55">
      <c r="B55" s="147" t="inlineStr">
        <is>
          <t>Indirect costs</t>
        </is>
      </c>
      <c r="D55" s="148">
        <f>D35-D15</f>
        <v/>
      </c>
      <c r="E55" s="148">
        <f>E35-E15</f>
        <v/>
      </c>
      <c r="F55" s="148">
        <f>F35-F15</f>
        <v/>
      </c>
      <c r="G55" s="148">
        <f>G35-G15</f>
        <v/>
      </c>
    </row>
    <row r="56">
      <c r="B56" s="149" t="inlineStr">
        <is>
          <t>% of turnover (% points)</t>
        </is>
      </c>
      <c r="D56" s="153">
        <f>D36-D16</f>
        <v/>
      </c>
      <c r="E56" s="153">
        <f>E36-E16</f>
        <v/>
      </c>
      <c r="F56" s="153">
        <f>F36-F16</f>
        <v/>
      </c>
      <c r="G56" s="153">
        <f>G36-G16</f>
        <v/>
      </c>
    </row>
    <row r="57">
      <c r="B57" s="143" t="inlineStr">
        <is>
          <t>Administrative expenses</t>
        </is>
      </c>
      <c r="D57" s="151">
        <f>D37-D17</f>
        <v/>
      </c>
      <c r="E57" s="151">
        <f>E37-E17</f>
        <v/>
      </c>
      <c r="F57" s="151">
        <f>F37-F17</f>
        <v/>
      </c>
      <c r="G57" s="151">
        <f>G37-G17</f>
        <v/>
      </c>
    </row>
    <row r="58">
      <c r="B58" s="147" t="inlineStr">
        <is>
          <t>% of turnover (% points)</t>
        </is>
      </c>
      <c r="D58" s="153">
        <f>D38-D18</f>
        <v/>
      </c>
      <c r="E58" s="153">
        <f>E38-E18</f>
        <v/>
      </c>
      <c r="F58" s="153">
        <f>F38-F18</f>
        <v/>
      </c>
      <c r="G58" s="153">
        <f>G38-G18</f>
        <v/>
      </c>
    </row>
    <row r="59">
      <c r="B59" s="143" t="inlineStr">
        <is>
          <t>Net profit before tax</t>
        </is>
      </c>
      <c r="D59" s="151">
        <f>D39-D19</f>
        <v/>
      </c>
      <c r="E59" s="151">
        <f>E39-E19</f>
        <v/>
      </c>
      <c r="F59" s="151">
        <f>F39-F19</f>
        <v/>
      </c>
      <c r="G59" s="151">
        <f>G39-G19</f>
        <v/>
      </c>
    </row>
    <row r="60">
      <c r="B60" s="147" t="inlineStr">
        <is>
          <t>Net profit % (% points)</t>
        </is>
      </c>
      <c r="D60" s="153">
        <f>D40-D20</f>
        <v/>
      </c>
      <c r="E60" s="153">
        <f>E40-E20</f>
        <v/>
      </c>
      <c r="F60" s="153">
        <f>F40-F20</f>
        <v/>
      </c>
      <c r="G60" s="153">
        <f>G40-G20</f>
        <v/>
      </c>
    </row>
    <row r="61">
      <c r="B61" s="147" t="inlineStr">
        <is>
          <t>FTEs</t>
        </is>
      </c>
      <c r="D61" s="154">
        <f>D41-D21</f>
        <v/>
      </c>
      <c r="E61" s="154">
        <f>E41-E21</f>
        <v/>
      </c>
      <c r="F61" s="154">
        <f>F41-F21</f>
        <v/>
      </c>
      <c r="G61" s="154">
        <f>G41-G21</f>
        <v/>
      </c>
    </row>
    <row r="63">
      <c r="B63" s="155" t="inlineStr">
        <is>
          <t>Assumptions: gross profit is 50% of turnover in the baseline year; payroll splits 70% direct staff (cost of sales) / 30% indirect staff (administrative expenses).</t>
        </is>
      </c>
    </row>
    <row r="64">
      <c r="B64" s="155" t="inlineStr">
        <is>
          <t>Materials &amp; plant hire keep their baseline share of non-labour costs, so non-labour efficiency savings are shared between materials and indirect costs. Indirect costs are the balancing figure to NPBT.</t>
        </is>
      </c>
    </row>
    <row r="65">
      <c r="B65" s="155" t="inlineStr">
        <is>
          <t>Depreciation is not shown as an expense. Figures come from the GVA sheet.</t>
        </is>
      </c>
    </row>
  </sheetData>
  <conditionalFormatting sqref="D6:G6">
    <cfRule type="expression" priority="1" dxfId="0">
      <formula>AND(ISNUMBER(D6),D6&gt;0)</formula>
    </cfRule>
    <cfRule type="expression" priority="2" dxfId="1">
      <formula>AND(ISNUMBER(D6),D6&lt;0)</formula>
    </cfRule>
  </conditionalFormatting>
  <conditionalFormatting sqref="D8:G8">
    <cfRule type="expression" priority="3" dxfId="0">
      <formula>AND(ISNUMBER(D8),D8&gt;0)</formula>
    </cfRule>
    <cfRule type="expression" priority="4" dxfId="1">
      <formula>AND(ISNUMBER(D8),D8&lt;0)</formula>
    </cfRule>
  </conditionalFormatting>
  <conditionalFormatting sqref="D10:G10">
    <cfRule type="expression" priority="5" dxfId="0">
      <formula>AND(ISNUMBER(D10),D10&gt;0)</formula>
    </cfRule>
    <cfRule type="expression" priority="6" dxfId="1">
      <formula>AND(ISNUMBER(D10),D10&lt;0)</formula>
    </cfRule>
  </conditionalFormatting>
  <conditionalFormatting sqref="D14:G14">
    <cfRule type="expression" priority="7" dxfId="0">
      <formula>AND(ISNUMBER(D14),D14&gt;0)</formula>
    </cfRule>
    <cfRule type="expression" priority="8" dxfId="1">
      <formula>AND(ISNUMBER(D14),D14&lt;0)</formula>
    </cfRule>
  </conditionalFormatting>
  <conditionalFormatting sqref="D16:G16">
    <cfRule type="expression" priority="9" dxfId="0">
      <formula>AND(ISNUMBER(D16),D16&gt;0)</formula>
    </cfRule>
    <cfRule type="expression" priority="10" dxfId="1">
      <formula>AND(ISNUMBER(D16),D16&lt;0)</formula>
    </cfRule>
  </conditionalFormatting>
  <conditionalFormatting sqref="D18:G18">
    <cfRule type="expression" priority="11" dxfId="0">
      <formula>AND(ISNUMBER(D18),D18&gt;0)</formula>
    </cfRule>
    <cfRule type="expression" priority="12" dxfId="1">
      <formula>AND(ISNUMBER(D18),D18&lt;0)</formula>
    </cfRule>
  </conditionalFormatting>
  <conditionalFormatting sqref="D26:G26">
    <cfRule type="expression" priority="13" dxfId="0">
      <formula>AND(ISNUMBER(D26),D26&gt;0)</formula>
    </cfRule>
    <cfRule type="expression" priority="14" dxfId="1">
      <formula>AND(ISNUMBER(D26),D26&lt;0)</formula>
    </cfRule>
  </conditionalFormatting>
  <conditionalFormatting sqref="D28:G28">
    <cfRule type="expression" priority="15" dxfId="0">
      <formula>AND(ISNUMBER(D28),D28&gt;0)</formula>
    </cfRule>
    <cfRule type="expression" priority="16" dxfId="1">
      <formula>AND(ISNUMBER(D28),D28&lt;0)</formula>
    </cfRule>
  </conditionalFormatting>
  <conditionalFormatting sqref="D30:G30">
    <cfRule type="expression" priority="17" dxfId="0">
      <formula>AND(ISNUMBER(D30),D30&gt;0)</formula>
    </cfRule>
    <cfRule type="expression" priority="18" dxfId="1">
      <formula>AND(ISNUMBER(D30),D30&lt;0)</formula>
    </cfRule>
  </conditionalFormatting>
  <conditionalFormatting sqref="D34:G34">
    <cfRule type="expression" priority="19" dxfId="0">
      <formula>AND(ISNUMBER(D34),D34&gt;0)</formula>
    </cfRule>
    <cfRule type="expression" priority="20" dxfId="1">
      <formula>AND(ISNUMBER(D34),D34&lt;0)</formula>
    </cfRule>
  </conditionalFormatting>
  <conditionalFormatting sqref="D36:G36">
    <cfRule type="expression" priority="21" dxfId="0">
      <formula>AND(ISNUMBER(D36),D36&gt;0)</formula>
    </cfRule>
    <cfRule type="expression" priority="22" dxfId="1">
      <formula>AND(ISNUMBER(D36),D36&lt;0)</formula>
    </cfRule>
  </conditionalFormatting>
  <conditionalFormatting sqref="D38:G38">
    <cfRule type="expression" priority="23" dxfId="0">
      <formula>AND(ISNUMBER(D38),D38&gt;0)</formula>
    </cfRule>
    <cfRule type="expression" priority="24" dxfId="1">
      <formula>AND(ISNUMBER(D38),D38&lt;0)</formula>
    </cfRule>
  </conditionalFormatting>
  <conditionalFormatting sqref="D46:G46">
    <cfRule type="expression" priority="25" dxfId="0">
      <formula>AND(ISNUMBER(D46),D46&gt;0)</formula>
    </cfRule>
    <cfRule type="expression" priority="26" dxfId="1">
      <formula>AND(ISNUMBER(D46),D46&lt;0)</formula>
    </cfRule>
  </conditionalFormatting>
  <conditionalFormatting sqref="D48:G48">
    <cfRule type="expression" priority="27" dxfId="0">
      <formula>AND(ISNUMBER(D48),D48&gt;0)</formula>
    </cfRule>
    <cfRule type="expression" priority="28" dxfId="1">
      <formula>AND(ISNUMBER(D48),D48&lt;0)</formula>
    </cfRule>
  </conditionalFormatting>
  <conditionalFormatting sqref="D50:G50">
    <cfRule type="expression" priority="29" dxfId="0">
      <formula>AND(ISNUMBER(D50),D50&gt;0)</formula>
    </cfRule>
    <cfRule type="expression" priority="30" dxfId="1">
      <formula>AND(ISNUMBER(D50),D50&lt;0)</formula>
    </cfRule>
  </conditionalFormatting>
  <conditionalFormatting sqref="D54:G54">
    <cfRule type="expression" priority="31" dxfId="0">
      <formula>AND(ISNUMBER(D54),D54&gt;0)</formula>
    </cfRule>
    <cfRule type="expression" priority="32" dxfId="1">
      <formula>AND(ISNUMBER(D54),D54&lt;0)</formula>
    </cfRule>
  </conditionalFormatting>
  <conditionalFormatting sqref="D56:G56">
    <cfRule type="expression" priority="33" dxfId="0">
      <formula>AND(ISNUMBER(D56),D56&gt;0)</formula>
    </cfRule>
    <cfRule type="expression" priority="34" dxfId="1">
      <formula>AND(ISNUMBER(D56),D56&lt;0)</formula>
    </cfRule>
  </conditionalFormatting>
  <conditionalFormatting sqref="D58:G58">
    <cfRule type="expression" priority="35" dxfId="0">
      <formula>AND(ISNUMBER(D58),D58&gt;0)</formula>
    </cfRule>
    <cfRule type="expression" priority="36" dxfId="1">
      <formula>AND(ISNUMBER(D58),D58&lt;0)</formula>
    </cfRule>
  </conditionalFormatting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Sullivan</dc:creator>
  <dcterms:created xmlns:dcterms="http://purl.org/dc/terms/" xmlns:xsi="http://www.w3.org/2001/XMLSchema-instance" xsi:type="dcterms:W3CDTF">2021-06-18T07:19:51Z</dcterms:created>
  <dcterms:modified xmlns:dcterms="http://purl.org/dc/terms/" xmlns:xsi="http://www.w3.org/2001/XMLSchema-instance" xsi:type="dcterms:W3CDTF">2026-10-21T14:50:04Z</dcterms:modified>
  <cp:lastModifiedBy>Davis, Jack</cp:lastModifiedBy>
  <cp:lastPrinted>2023-03-13T09:52:31Z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0x010100F0E24C2CA4A27842A71DD86A98291CC8</vt:lpwstr>
  </property>
</Properties>
</file>